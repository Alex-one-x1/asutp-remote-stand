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збор кадров" sheetId="1" state="visible" r:id="rId3"/>
    <sheet name="Регистр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<sst xmlns="http://schemas.openxmlformats.org/spreadsheetml/2006/main" count="107" uniqueCount="58">
  <si>
    <t xml:space="preserve">Занятие 15 — разбор кадров Modbus RTU, XY-MD02, слейв 1</t>
  </si>
  <si>
    <t xml:space="preserve">Источник: Bus Monitor QModMaster, стенд, 13:14. Синие ячейки — байты из монитора (hex), остальное считается формулами.</t>
  </si>
  <si>
    <t xml:space="preserve">Масштаб температуры и влажности</t>
  </si>
  <si>
    <t xml:space="preserve">по карте XY-MD02 (×0,1)</t>
  </si>
  <si>
    <t xml:space="preserve">Запрос   01 04 00 01 00 02 20 0B</t>
  </si>
  <si>
    <t xml:space="preserve">Поле</t>
  </si>
  <si>
    <t xml:space="preserve">Байты (hex)</t>
  </si>
  <si>
    <t xml:space="preserve">Десятичное</t>
  </si>
  <si>
    <t xml:space="preserve">Значение</t>
  </si>
  <si>
    <t xml:space="preserve">Ед.</t>
  </si>
  <si>
    <t xml:space="preserve">Примечание</t>
  </si>
  <si>
    <t xml:space="preserve">Адрес слейва</t>
  </si>
  <si>
    <t xml:space="preserve">01</t>
  </si>
  <si>
    <t xml:space="preserve">слейв 1</t>
  </si>
  <si>
    <t xml:space="preserve">Функция</t>
  </si>
  <si>
    <t xml:space="preserve">04</t>
  </si>
  <si>
    <t xml:space="preserve">чтение input registers</t>
  </si>
  <si>
    <t xml:space="preserve">Начальный адрес</t>
  </si>
  <si>
    <t xml:space="preserve">0001</t>
  </si>
  <si>
    <t xml:space="preserve">0x0001 — температура</t>
  </si>
  <si>
    <t xml:space="preserve">Количество регистров</t>
  </si>
  <si>
    <t xml:space="preserve">0002</t>
  </si>
  <si>
    <t xml:space="preserve">2 регистра</t>
  </si>
  <si>
    <t xml:space="preserve">CRC16</t>
  </si>
  <si>
    <t xml:space="preserve">20 0B</t>
  </si>
  <si>
    <t xml:space="preserve">—</t>
  </si>
  <si>
    <t xml:space="preserve">младший байт вперёд</t>
  </si>
  <si>
    <t xml:space="preserve">Ответ до дыхания   01 04 04 01 0D 02 36 EA CD</t>
  </si>
  <si>
    <t xml:space="preserve">ответил слейв 1</t>
  </si>
  <si>
    <t xml:space="preserve">та же — не исключение</t>
  </si>
  <si>
    <t xml:space="preserve">Число байт данных</t>
  </si>
  <si>
    <t xml:space="preserve">4 байта = 2 регистра</t>
  </si>
  <si>
    <t xml:space="preserve">Регистр 0x0001</t>
  </si>
  <si>
    <t xml:space="preserve">010D</t>
  </si>
  <si>
    <t xml:space="preserve">°C</t>
  </si>
  <si>
    <t xml:space="preserve">температура, знаковое</t>
  </si>
  <si>
    <t xml:space="preserve">Регистр 0x0002</t>
  </si>
  <si>
    <t xml:space="preserve">0236</t>
  </si>
  <si>
    <t xml:space="preserve">%</t>
  </si>
  <si>
    <t xml:space="preserve">влажность</t>
  </si>
  <si>
    <t xml:space="preserve">EA CD</t>
  </si>
  <si>
    <t xml:space="preserve">Ответ после дыхания   01 04 04 01 1B 02 E7 CB 55</t>
  </si>
  <si>
    <t xml:space="preserve">011B</t>
  </si>
  <si>
    <t xml:space="preserve">02E7</t>
  </si>
  <si>
    <t xml:space="preserve">CB 55</t>
  </si>
  <si>
    <t xml:space="preserve">Порядок байт: данные в регистре — старший вперёд; CRC — младший вперёд.</t>
  </si>
  <si>
    <t xml:space="preserve">Карта XY-MD02 — проверено на приборе</t>
  </si>
  <si>
    <t xml:space="preserve">В кадре (hex)</t>
  </si>
  <si>
    <t xml:space="preserve">Классический номер</t>
  </si>
  <si>
    <t xml:space="preserve">Смысл</t>
  </si>
  <si>
    <t xml:space="preserve">Масштаб</t>
  </si>
  <si>
    <t xml:space="preserve">До дыхания</t>
  </si>
  <si>
    <t xml:space="preserve">После дыхания</t>
  </si>
  <si>
    <t xml:space="preserve">Температура</t>
  </si>
  <si>
    <t xml:space="preserve">×0,1, знаковое</t>
  </si>
  <si>
    <t xml:space="preserve">Влажность</t>
  </si>
  <si>
    <t xml:space="preserve">×0,1</t>
  </si>
  <si>
    <t xml:space="preserve">Классический номер = 30000 + адрес в кадре + 1 (input registers). Зелёные — ссылки на лист «Разбор кадров».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</si>
</sst>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0.1</v>
      </c>
      <c r="D3" s="2" t="s">
        <v>3</v>
      </c>
    </row>
    <row r="5" customFormat="false" ht="15" hidden="false" customHeight="false" outlineLevel="0" collapsed="false">
      <c r="A5" s="5" t="s">
        <v>4</v>
      </c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customFormat="false" ht="15" hidden="false" customHeight="false" outlineLevel="0" collapsed="false">
      <c r="A7" s="7" t="s">
        <v>11</v>
      </c>
      <c r="B7" s="8" t="s">
        <v>12</v>
      </c>
      <c r="C7" s="7" t="n">
        <f aca="false">HEX2DEC(B7)</f>
        <v>1</v>
      </c>
      <c r="D7" s="7" t="n">
        <f aca="false">C7</f>
        <v>1</v>
      </c>
      <c r="E7" s="7"/>
      <c r="F7" s="7" t="s">
        <v>13</v>
      </c>
    </row>
    <row r="8" customFormat="false" ht="15" hidden="false" customHeight="false" outlineLevel="0" collapsed="false">
      <c r="A8" s="7" t="s">
        <v>14</v>
      </c>
      <c r="B8" s="8" t="s">
        <v>15</v>
      </c>
      <c r="C8" s="7" t="n">
        <f aca="false">HEX2DEC(B8)</f>
        <v>4</v>
      </c>
      <c r="D8" s="7" t="n">
        <f aca="false">C8</f>
        <v>4</v>
      </c>
      <c r="E8" s="7"/>
      <c r="F8" s="7" t="s">
        <v>16</v>
      </c>
    </row>
    <row r="9" customFormat="false" ht="15" hidden="false" customHeight="false" outlineLevel="0" collapsed="false">
      <c r="A9" s="7" t="s">
        <v>17</v>
      </c>
      <c r="B9" s="8" t="s">
        <v>18</v>
      </c>
      <c r="C9" s="7" t="n">
        <f aca="false">HEX2DEC(B9)</f>
        <v>1</v>
      </c>
      <c r="D9" s="7" t="n">
        <f aca="false">C9</f>
        <v>1</v>
      </c>
      <c r="E9" s="7"/>
      <c r="F9" s="7" t="s">
        <v>19</v>
      </c>
    </row>
    <row r="10" customFormat="false" ht="15" hidden="false" customHeight="false" outlineLevel="0" collapsed="false">
      <c r="A10" s="7" t="s">
        <v>20</v>
      </c>
      <c r="B10" s="8" t="s">
        <v>21</v>
      </c>
      <c r="C10" s="7" t="n">
        <f aca="false">HEX2DEC(B10)</f>
        <v>2</v>
      </c>
      <c r="D10" s="7" t="n">
        <f aca="false">C10</f>
        <v>2</v>
      </c>
      <c r="E10" s="7"/>
      <c r="F10" s="7" t="s">
        <v>22</v>
      </c>
    </row>
    <row r="11" customFormat="false" ht="15" hidden="false" customHeight="false" outlineLevel="0" collapsed="false">
      <c r="A11" s="7" t="s">
        <v>23</v>
      </c>
      <c r="B11" s="8" t="s">
        <v>24</v>
      </c>
      <c r="C11" s="7" t="s">
        <v>25</v>
      </c>
      <c r="D11" s="7" t="s">
        <v>25</v>
      </c>
      <c r="E11" s="7"/>
      <c r="F11" s="7" t="s">
        <v>26</v>
      </c>
    </row>
    <row r="13" customFormat="false" ht="15" hidden="false" customHeight="false" outlineLevel="0" collapsed="false">
      <c r="A13" s="5" t="s">
        <v>27</v>
      </c>
    </row>
    <row r="14" customFormat="false" ht="15" hidden="false" customHeight="false" outlineLevel="0" collapsed="false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</row>
    <row r="15" customFormat="false" ht="15" hidden="false" customHeight="false" outlineLevel="0" collapsed="false">
      <c r="A15" s="7" t="s">
        <v>11</v>
      </c>
      <c r="B15" s="8" t="s">
        <v>12</v>
      </c>
      <c r="C15" s="7" t="n">
        <f aca="false">HEX2DEC(B15)</f>
        <v>1</v>
      </c>
      <c r="D15" s="7" t="n">
        <f aca="false">C15</f>
        <v>1</v>
      </c>
      <c r="E15" s="7"/>
      <c r="F15" s="7" t="s">
        <v>28</v>
      </c>
    </row>
    <row r="16" customFormat="false" ht="15" hidden="false" customHeight="false" outlineLevel="0" collapsed="false">
      <c r="A16" s="7" t="s">
        <v>14</v>
      </c>
      <c r="B16" s="8" t="s">
        <v>15</v>
      </c>
      <c r="C16" s="7" t="n">
        <f aca="false">HEX2DEC(B16)</f>
        <v>4</v>
      </c>
      <c r="D16" s="7" t="n">
        <f aca="false">C16</f>
        <v>4</v>
      </c>
      <c r="E16" s="7"/>
      <c r="F16" s="7" t="s">
        <v>29</v>
      </c>
    </row>
    <row r="17" customFormat="false" ht="15" hidden="false" customHeight="false" outlineLevel="0" collapsed="false">
      <c r="A17" s="7" t="s">
        <v>30</v>
      </c>
      <c r="B17" s="8" t="s">
        <v>15</v>
      </c>
      <c r="C17" s="7" t="n">
        <f aca="false">HEX2DEC(B17)</f>
        <v>4</v>
      </c>
      <c r="D17" s="7" t="n">
        <f aca="false">C17</f>
        <v>4</v>
      </c>
      <c r="E17" s="7"/>
      <c r="F17" s="7" t="s">
        <v>31</v>
      </c>
    </row>
    <row r="18" customFormat="false" ht="15" hidden="false" customHeight="false" outlineLevel="0" collapsed="false">
      <c r="A18" s="7" t="s">
        <v>32</v>
      </c>
      <c r="B18" s="8" t="s">
        <v>33</v>
      </c>
      <c r="C18" s="7" t="n">
        <f aca="false">HEX2DEC(B18)</f>
        <v>269</v>
      </c>
      <c r="D18" s="9" t="n">
        <f aca="false">IF(C18&gt;=32768,C18-65536,C18)*$C$3</f>
        <v>26.9</v>
      </c>
      <c r="E18" s="7" t="s">
        <v>34</v>
      </c>
      <c r="F18" s="7" t="s">
        <v>35</v>
      </c>
    </row>
    <row r="19" customFormat="false" ht="15" hidden="false" customHeight="false" outlineLevel="0" collapsed="false">
      <c r="A19" s="7" t="s">
        <v>36</v>
      </c>
      <c r="B19" s="8" t="s">
        <v>37</v>
      </c>
      <c r="C19" s="7" t="n">
        <f aca="false">HEX2DEC(B19)</f>
        <v>566</v>
      </c>
      <c r="D19" s="9" t="n">
        <f aca="false">C19*$C$3</f>
        <v>56.6</v>
      </c>
      <c r="E19" s="7" t="s">
        <v>38</v>
      </c>
      <c r="F19" s="7" t="s">
        <v>39</v>
      </c>
    </row>
    <row r="20" customFormat="false" ht="15" hidden="false" customHeight="false" outlineLevel="0" collapsed="false">
      <c r="A20" s="7" t="s">
        <v>23</v>
      </c>
      <c r="B20" s="8" t="s">
        <v>40</v>
      </c>
      <c r="C20" s="7" t="s">
        <v>25</v>
      </c>
      <c r="D20" s="7" t="s">
        <v>25</v>
      </c>
      <c r="E20" s="7"/>
      <c r="F20" s="7" t="s">
        <v>26</v>
      </c>
    </row>
    <row r="22" customFormat="false" ht="15" hidden="false" customHeight="false" outlineLevel="0" collapsed="false">
      <c r="A22" s="5" t="s">
        <v>41</v>
      </c>
    </row>
    <row r="23" customFormat="false" ht="15" hidden="false" customHeight="false" outlineLevel="0" collapsed="false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</row>
    <row r="24" customFormat="false" ht="15" hidden="false" customHeight="false" outlineLevel="0" collapsed="false">
      <c r="A24" s="7" t="s">
        <v>11</v>
      </c>
      <c r="B24" s="8" t="s">
        <v>12</v>
      </c>
      <c r="C24" s="7" t="n">
        <f aca="false">HEX2DEC(B24)</f>
        <v>1</v>
      </c>
      <c r="D24" s="7" t="n">
        <f aca="false">C24</f>
        <v>1</v>
      </c>
      <c r="E24" s="7"/>
      <c r="F24" s="7" t="s">
        <v>28</v>
      </c>
    </row>
    <row r="25" customFormat="false" ht="15" hidden="false" customHeight="false" outlineLevel="0" collapsed="false">
      <c r="A25" s="7" t="s">
        <v>14</v>
      </c>
      <c r="B25" s="8" t="s">
        <v>15</v>
      </c>
      <c r="C25" s="7" t="n">
        <f aca="false">HEX2DEC(B25)</f>
        <v>4</v>
      </c>
      <c r="D25" s="7" t="n">
        <f aca="false">C25</f>
        <v>4</v>
      </c>
      <c r="E25" s="7"/>
      <c r="F25" s="7" t="s">
        <v>29</v>
      </c>
    </row>
    <row r="26" customFormat="false" ht="15" hidden="false" customHeight="false" outlineLevel="0" collapsed="false">
      <c r="A26" s="7" t="s">
        <v>30</v>
      </c>
      <c r="B26" s="8" t="s">
        <v>15</v>
      </c>
      <c r="C26" s="7" t="n">
        <f aca="false">HEX2DEC(B26)</f>
        <v>4</v>
      </c>
      <c r="D26" s="7" t="n">
        <f aca="false">C26</f>
        <v>4</v>
      </c>
      <c r="E26" s="7"/>
      <c r="F26" s="7" t="s">
        <v>31</v>
      </c>
    </row>
    <row r="27" customFormat="false" ht="15" hidden="false" customHeight="false" outlineLevel="0" collapsed="false">
      <c r="A27" s="7" t="s">
        <v>32</v>
      </c>
      <c r="B27" s="8" t="s">
        <v>42</v>
      </c>
      <c r="C27" s="7" t="n">
        <f aca="false">HEX2DEC(B27)</f>
        <v>283</v>
      </c>
      <c r="D27" s="9" t="n">
        <f aca="false">IF(C27&gt;=32768,C27-65536,C27)*$C$3</f>
        <v>28.3</v>
      </c>
      <c r="E27" s="7" t="s">
        <v>34</v>
      </c>
      <c r="F27" s="7" t="s">
        <v>35</v>
      </c>
    </row>
    <row r="28" customFormat="false" ht="15" hidden="false" customHeight="false" outlineLevel="0" collapsed="false">
      <c r="A28" s="7" t="s">
        <v>36</v>
      </c>
      <c r="B28" s="8" t="s">
        <v>43</v>
      </c>
      <c r="C28" s="7" t="n">
        <f aca="false">HEX2DEC(B28)</f>
        <v>743</v>
      </c>
      <c r="D28" s="9" t="n">
        <f aca="false">C28*$C$3</f>
        <v>74.3</v>
      </c>
      <c r="E28" s="7" t="s">
        <v>38</v>
      </c>
      <c r="F28" s="7" t="s">
        <v>39</v>
      </c>
    </row>
    <row r="29" customFormat="false" ht="15" hidden="false" customHeight="false" outlineLevel="0" collapsed="false">
      <c r="A29" s="7" t="s">
        <v>23</v>
      </c>
      <c r="B29" s="8" t="s">
        <v>44</v>
      </c>
      <c r="C29" s="7" t="s">
        <v>25</v>
      </c>
      <c r="D29" s="7" t="s">
        <v>25</v>
      </c>
      <c r="E29" s="7"/>
      <c r="F29" s="7" t="s">
        <v>26</v>
      </c>
    </row>
    <row r="31" customFormat="false" ht="15" hidden="false" customHeight="false" outlineLevel="0" collapsed="false">
      <c r="A31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6"/>
  </cols>
  <sheetData>
    <row r="1" customFormat="false" ht="16.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6" t="s">
        <v>47</v>
      </c>
      <c r="B3" s="6" t="s">
        <v>48</v>
      </c>
      <c r="C3" s="6" t="s">
        <v>14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9</v>
      </c>
    </row>
    <row r="4" customFormat="false" ht="15" hidden="false" customHeight="false" outlineLevel="0" collapsed="false">
      <c r="A4" s="8" t="s">
        <v>18</v>
      </c>
      <c r="B4" s="7" t="n">
        <f aca="false">30000+HEX2DEC(A4)+1</f>
        <v>30002</v>
      </c>
      <c r="C4" s="7" t="s">
        <v>15</v>
      </c>
      <c r="D4" s="7" t="s">
        <v>53</v>
      </c>
      <c r="E4" s="7" t="s">
        <v>54</v>
      </c>
      <c r="F4" s="10" t="n">
        <f aca="false">'Разбор кадров'!D18</f>
        <v>26.9</v>
      </c>
      <c r="G4" s="10" t="n">
        <f aca="false">'Разбор кадров'!D27</f>
        <v>28.3</v>
      </c>
      <c r="H4" s="7" t="s">
        <v>34</v>
      </c>
    </row>
    <row r="5" customFormat="false" ht="15" hidden="false" customHeight="false" outlineLevel="0" collapsed="false">
      <c r="A5" s="8" t="s">
        <v>21</v>
      </c>
      <c r="B5" s="7" t="n">
        <f aca="false">30000+HEX2DEC(A5)+1</f>
        <v>30003</v>
      </c>
      <c r="C5" s="7" t="s">
        <v>15</v>
      </c>
      <c r="D5" s="7" t="s">
        <v>55</v>
      </c>
      <c r="E5" s="7" t="s">
        <v>56</v>
      </c>
      <c r="F5" s="10" t="n">
        <f aca="false">'Разбор кадров'!D19</f>
        <v>56.6</v>
      </c>
      <c r="G5" s="10" t="n">
        <f aca="false">'Разбор кадров'!D28</f>
        <v>74.3</v>
      </c>
      <c r="H5" s="7" t="s">
        <v>38</v>
      </c>
    </row>
    <row r="7" customFormat="false" ht="15" hidden="false" customHeight="false" outlineLevel="0" collapsed="false">
      <c r="A7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2026-10-01T10:21:49Z</dcterms:created>
  <dc:creator>openpyxl</dc:creator>
  <dc:description/>
  <dc:language>en-US</dc:language>
  <cp:lastModifiedBy/>
  <dcterms:modified xsi:type="dcterms:W3CDTF">2026-10-01T10:21:49Z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